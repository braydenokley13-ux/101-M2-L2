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tro &amp; Instructions " sheetId="1" r:id="rId5"/>
    <sheet state="visible" name="Parity Engine" sheetId="2" r:id="rId6"/>
  </sheets>
  <definedNames>
    <definedName name="LeagueRevenue">'Parity Engine'!$B$4</definedName>
    <definedName name="DistributionType">'Parity Engine'!$B$7</definedName>
    <definedName name="BigMarket">'Parity Engine'!$J$4</definedName>
    <definedName name="MidMarket">'Parity Engine'!$J$5</definedName>
    <definedName name="SmallMarket">'Parity Engine'!$J$6</definedName>
    <definedName name="NumTeams">'Parity Engine'!$B$5</definedName>
    <definedName name="SharePercent">'Parity Engine'!$B$6</definedName>
  </definedNames>
  <calcPr/>
</workbook>
</file>

<file path=xl/sharedStrings.xml><?xml version="1.0" encoding="utf-8"?>
<sst xmlns="http://schemas.openxmlformats.org/spreadsheetml/2006/main" count="42" uniqueCount="41">
  <si>
    <t>🎧 Welcome to the Parity Builder</t>
  </si>
  <si>
    <t>You’re running your own league! Adjust league-wide settings to make sure small-market and big-market teams earn similar profits.</t>
  </si>
  <si>
    <t>Your job: Find the right revenue sharing % and distribution style to achieve league fairness.</t>
  </si>
  <si>
    <t>When “Fairness Score” hits your goal — you’ll unlock a claim code automatically.</t>
  </si>
  <si>
    <t>Click here to start simulation →</t>
  </si>
  <si>
    <t xml:space="preserve">🏆 BOW Sports Capital: Parity Builder
</t>
  </si>
  <si>
    <t xml:space="preserve">            © 2025 BOW Sports Capital — Track 101 Module 2 Lesson 2</t>
  </si>
  <si>
    <t>Input</t>
  </si>
  <si>
    <t>Value</t>
  </si>
  <si>
    <t>Description</t>
  </si>
  <si>
    <t>Metric</t>
  </si>
  <si>
    <t>Formula</t>
  </si>
  <si>
    <t>Market</t>
  </si>
  <si>
    <t>Base Revenue ($M)</t>
  </si>
  <si>
    <t>Fan Base Score</t>
  </si>
  <si>
    <t>Market Size</t>
  </si>
  <si>
    <t>Adjusted Revenue ($M)</t>
  </si>
  <si>
    <t>League Revenue ($B)💰</t>
  </si>
  <si>
    <t>Total shared league income</t>
  </si>
  <si>
    <t>Small Market Revenue</t>
  </si>
  <si>
    <t>Increases with fairness</t>
  </si>
  <si>
    <t>Big City</t>
  </si>
  <si>
    <t># of Teams🏟️</t>
  </si>
  <si>
    <t>Total teams in the league</t>
  </si>
  <si>
    <t>Big Market Revenue</t>
  </si>
  <si>
    <t>Decreases with sharing</t>
  </si>
  <si>
    <t>Mid Market</t>
  </si>
  <si>
    <t>Revenue Sharing %⚖️</t>
  </si>
  <si>
    <t>PICK A PERCENT</t>
  </si>
  <si>
    <t>% of revenue that gets redistributed</t>
  </si>
  <si>
    <t>Fairness Score</t>
  </si>
  <si>
    <t>% measure of parity</t>
  </si>
  <si>
    <t>Small Market</t>
  </si>
  <si>
    <t>Distribution Type⚖️</t>
  </si>
  <si>
    <t>Type of revenue sharing rule</t>
  </si>
  <si>
    <t>Goal Fairness Score</t>
  </si>
  <si>
    <t>Target threshold</t>
  </si>
  <si>
    <t>Status</t>
  </si>
  <si>
    <t>💡 Coach’s Corner:</t>
  </si>
  <si>
    <t>In real leagues, perfect parity is rare. Too much sharing can lower incentives, while too little creates dynasties.</t>
  </si>
  <si>
    <t>Your goal: find balance between fairness and competition.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</si>
</sst>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sz val="12.0"/>
      <color rgb="FF000000"/>
      <name val="Arial"/>
      <scheme val="minor"/>
    </font>
    <font>
      <color theme="1"/>
      <name val="Arial"/>
      <scheme val="minor"/>
    </font>
    <font>
      <u/>
      <sz val="12.0"/>
      <color rgb="FF0000FF"/>
    </font>
    <font>
      <b/>
      <color rgb="FFFFFFFF"/>
      <name val="Arial"/>
      <scheme val="minor"/>
    </font>
    <font>
      <b/>
      <color rgb="FF000000"/>
      <name val="Arial"/>
      <scheme val="minor"/>
    </font>
    <font>
      <b/>
      <color theme="1"/>
      <name val="Arial"/>
      <scheme val="minor"/>
    </font>
    <font>
      <b/>
      <sz val="12.0"/>
      <color rgb="FF000000"/>
      <name val="Arial"/>
      <scheme val="minor"/>
    </font>
    <font>
      <color rgb="FF000000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003399"/>
        <bgColor rgb="FF003399"/>
      </patternFill>
    </fill>
    <fill>
      <patternFill patternType="solid">
        <fgColor rgb="FF00FFFF"/>
        <bgColor rgb="FF00FFFF"/>
      </patternFill>
    </fill>
    <fill>
      <patternFill patternType="solid">
        <fgColor rgb="FF666666"/>
        <bgColor rgb="FF666666"/>
      </patternFill>
    </fill>
    <fill>
      <patternFill patternType="solid">
        <fgColor rgb="FFDCE6F1"/>
        <bgColor rgb="FFDCE6F1"/>
      </patternFill>
    </fill>
    <fill>
      <patternFill patternType="solid">
        <fgColor rgb="FFE2EFDA"/>
        <bgColor rgb="FFE2EFDA"/>
      </patternFill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2" fontId="4" numFmtId="0" xfId="0" applyAlignment="1" applyFill="1" applyFont="1">
      <alignment horizontal="center" readingOrder="0"/>
    </xf>
    <xf borderId="0" fillId="0" fontId="5" numFmtId="0" xfId="0" applyAlignment="1" applyFont="1">
      <alignment horizontal="center" readingOrder="0"/>
    </xf>
    <xf borderId="0" fillId="0" fontId="6" numFmtId="0" xfId="0" applyAlignment="1" applyFont="1">
      <alignment horizontal="center" readingOrder="0"/>
    </xf>
    <xf borderId="0" fillId="3" fontId="5" numFmtId="0" xfId="0" applyAlignment="1" applyFill="1" applyFont="1">
      <alignment horizontal="center" readingOrder="0"/>
    </xf>
    <xf borderId="0" fillId="0" fontId="6" numFmtId="0" xfId="0" applyFont="1"/>
    <xf borderId="0" fillId="0" fontId="7" numFmtId="0" xfId="0" applyAlignment="1" applyFont="1">
      <alignment readingOrder="0"/>
    </xf>
    <xf borderId="0" fillId="4" fontId="5" numFmtId="0" xfId="0" applyAlignment="1" applyFill="1" applyFont="1">
      <alignment horizontal="center" readingOrder="0"/>
    </xf>
    <xf borderId="0" fillId="4" fontId="6" numFmtId="0" xfId="0" applyFont="1"/>
    <xf borderId="0" fillId="4" fontId="6" numFmtId="0" xfId="0" applyAlignment="1" applyFont="1">
      <alignment horizontal="center" readingOrder="0"/>
    </xf>
    <xf borderId="0" fillId="4" fontId="7" numFmtId="0" xfId="0" applyAlignment="1" applyFont="1">
      <alignment readingOrder="0"/>
    </xf>
    <xf borderId="0" fillId="5" fontId="8" numFmtId="0" xfId="0" applyAlignment="1" applyFill="1" applyFont="1">
      <alignment readingOrder="0"/>
    </xf>
    <xf borderId="0" fillId="0" fontId="8" numFmtId="0" xfId="0" applyAlignment="1" applyFont="1">
      <alignment readingOrder="0"/>
    </xf>
    <xf borderId="0" fillId="6" fontId="8" numFmtId="0" xfId="0" applyAlignment="1" applyFill="1" applyFont="1">
      <alignment readingOrder="0"/>
    </xf>
    <xf borderId="0" fillId="6" fontId="8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Before &amp; After Revenue Sharing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'Parity Engine'!$J$3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'Parity Engine'!$I$4:$I$6</c:f>
            </c:strRef>
          </c:cat>
          <c:val>
            <c:numRef>
              <c:f>'Parity Engine'!$J$4:$J$6</c:f>
              <c:numCache/>
            </c:numRef>
          </c:val>
        </c:ser>
        <c:ser>
          <c:idx val="1"/>
          <c:order val="1"/>
          <c:tx>
            <c:strRef>
              <c:f>'Parity Engine'!$M$3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'Parity Engine'!$I$4:$I$6</c:f>
            </c:strRef>
          </c:cat>
          <c:val>
            <c:numRef>
              <c:f>'Parity Engine'!$M$4:$M$6</c:f>
              <c:numCache/>
            </c:numRef>
          </c:val>
        </c:ser>
        <c:axId val="104199947"/>
        <c:axId val="981560774"/>
      </c:barChart>
      <c:catAx>
        <c:axId val="1041999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Market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81560774"/>
      </c:catAx>
      <c:valAx>
        <c:axId val="98156077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419994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16</xdr:row>
      <xdr:rowOff>190500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</row>
    <row r="2">
      <c r="A2" s="1" t="s">
        <v>1</v>
      </c>
    </row>
    <row r="3">
      <c r="A3" s="1" t="s">
        <v>2</v>
      </c>
    </row>
    <row r="4">
      <c r="A4" s="1" t="s">
        <v>3</v>
      </c>
    </row>
    <row r="6">
      <c r="C6" s="3" t="s">
        <v>4</v>
      </c>
    </row>
    <row r="7">
      <c r="C7" s="1"/>
    </row>
    <row r="8">
      <c r="C8" s="1"/>
    </row>
    <row r="9">
      <c r="C9" s="1"/>
    </row>
  </sheetData>
  <hyperlinks>
    <hyperlink display="Click here to start simulation →" location="'Parity Engine'!A1" ref="C6"/>
  </hyperlin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63"/>
    <col customWidth="1" min="2" max="2" width="22.88"/>
    <col customWidth="1" min="4" max="4" width="22.13"/>
    <col customWidth="1" min="5" max="5" width="28.38"/>
    <col customWidth="1" min="6" max="6" width="39.75"/>
    <col customWidth="1" min="7" max="7" width="21.25"/>
    <col customWidth="1" min="10" max="10" width="16.13"/>
    <col customWidth="1" min="13" max="13" width="26.63"/>
  </cols>
  <sheetData>
    <row r="1">
      <c r="A1" s="4" t="s">
        <v>5</v>
      </c>
      <c r="F1" s="5"/>
      <c r="G1" s="5"/>
      <c r="I1" s="6"/>
      <c r="J1" s="6"/>
      <c r="K1" s="6"/>
      <c r="L1" s="6"/>
      <c r="M1" s="1"/>
    </row>
    <row r="2">
      <c r="A2" s="7" t="s">
        <v>6</v>
      </c>
      <c r="G2" s="5"/>
      <c r="H2" s="8"/>
      <c r="I2" s="6"/>
      <c r="J2" s="6"/>
      <c r="K2" s="6"/>
      <c r="L2" s="6"/>
      <c r="M2" s="9"/>
    </row>
    <row r="3">
      <c r="A3" s="10" t="s">
        <v>7</v>
      </c>
      <c r="B3" s="10" t="s">
        <v>8</v>
      </c>
      <c r="C3" s="10" t="s">
        <v>9</v>
      </c>
      <c r="D3" s="11"/>
      <c r="E3" s="10" t="s">
        <v>10</v>
      </c>
      <c r="F3" s="10" t="s">
        <v>11</v>
      </c>
      <c r="G3" s="10" t="s">
        <v>9</v>
      </c>
      <c r="H3" s="11"/>
      <c r="I3" s="12" t="s">
        <v>12</v>
      </c>
      <c r="J3" s="12" t="s">
        <v>13</v>
      </c>
      <c r="K3" s="12" t="s">
        <v>14</v>
      </c>
      <c r="L3" s="12" t="s">
        <v>15</v>
      </c>
      <c r="M3" s="13" t="s">
        <v>16</v>
      </c>
    </row>
    <row r="4">
      <c r="A4" s="14" t="s">
        <v>17</v>
      </c>
      <c r="B4" s="14">
        <v>10.0</v>
      </c>
      <c r="C4" s="15" t="s">
        <v>18</v>
      </c>
      <c r="E4" s="16" t="s">
        <v>19</v>
      </c>
      <c r="F4" s="17">
        <f>MIN($M$3:$M$5)
</f>
        <v>150</v>
      </c>
      <c r="G4" s="16" t="s">
        <v>20</v>
      </c>
      <c r="I4" s="2" t="s">
        <v>21</v>
      </c>
      <c r="J4" s="2">
        <v>220.0</v>
      </c>
      <c r="K4" s="2">
        <v>90.0</v>
      </c>
      <c r="L4" s="2">
        <v>10.0</v>
      </c>
      <c r="M4" s="18">
        <f t="shared" ref="M4:M6" si="1">IF($B$7="Equal",
   J4 - (J4*$B$6/100) + (($B$6/100)*SUM($J$4:$J$6)/COUNT($J$4:$J$6)),
   IF($B$7="Market Weighted",
      J4 - (J4*$B$6/100) + (($B$6/100)*SUM($J$4:$J$6)*(L4/SUM($L$4:$L$6))),
      J4))
</f>
        <v>220</v>
      </c>
    </row>
    <row r="5">
      <c r="A5" s="14" t="s">
        <v>22</v>
      </c>
      <c r="B5" s="14">
        <v>5.0</v>
      </c>
      <c r="C5" s="15" t="s">
        <v>23</v>
      </c>
      <c r="E5" s="16" t="s">
        <v>24</v>
      </c>
      <c r="F5" s="17">
        <f>MAX($M$3:$M$5)
</f>
        <v>220</v>
      </c>
      <c r="G5" s="16" t="s">
        <v>25</v>
      </c>
      <c r="I5" s="2" t="s">
        <v>26</v>
      </c>
      <c r="J5" s="2">
        <v>150.0</v>
      </c>
      <c r="K5" s="2">
        <v>70.0</v>
      </c>
      <c r="L5" s="2">
        <v>6.0</v>
      </c>
      <c r="M5" s="18">
        <f t="shared" si="1"/>
        <v>150</v>
      </c>
    </row>
    <row r="6">
      <c r="A6" s="14" t="s">
        <v>27</v>
      </c>
      <c r="B6" s="14" t="s">
        <v>28</v>
      </c>
      <c r="C6" s="15" t="s">
        <v>29</v>
      </c>
      <c r="E6" s="16" t="s">
        <v>30</v>
      </c>
      <c r="F6" s="17">
        <f>ROUND( MIN($M$3:$M$5) / MAX($M$3:$M$5) * 100 , 1)
</f>
        <v>68.2</v>
      </c>
      <c r="G6" s="16" t="s">
        <v>31</v>
      </c>
      <c r="I6" s="2" t="s">
        <v>32</v>
      </c>
      <c r="J6" s="2">
        <v>80.0</v>
      </c>
      <c r="K6" s="2">
        <v>50.0</v>
      </c>
      <c r="L6" s="2">
        <v>3.0</v>
      </c>
      <c r="M6" s="18">
        <f t="shared" si="1"/>
        <v>80</v>
      </c>
    </row>
    <row r="7">
      <c r="A7" s="14" t="s">
        <v>33</v>
      </c>
      <c r="B7" s="14"/>
      <c r="C7" s="15" t="s">
        <v>34</v>
      </c>
      <c r="E7" s="16" t="s">
        <v>35</v>
      </c>
      <c r="F7" s="16">
        <v>85.0</v>
      </c>
      <c r="G7" s="16" t="s">
        <v>36</v>
      </c>
    </row>
    <row r="8">
      <c r="E8" s="16" t="s">
        <v>37</v>
      </c>
      <c r="F8" s="16" t="str">
        <f>IF(F6&gt;=F7,
   "✅ Claim Code: T101-M2-L2-WIN",
   "❌ Adjust your sharing until Fairness% ≥ 85)
")</f>
        <v>❌ Adjust your sharing until Fairness% ≥ 85)
</v>
      </c>
      <c r="G8" s="16"/>
    </row>
    <row r="14">
      <c r="A14" s="1" t="s">
        <v>38</v>
      </c>
    </row>
    <row r="15">
      <c r="A15" s="1" t="s">
        <v>39</v>
      </c>
    </row>
    <row r="16">
      <c r="A16" s="1" t="s">
        <v>40</v>
      </c>
    </row>
  </sheetData>
  <mergeCells count="2">
    <mergeCell ref="A1:E1"/>
    <mergeCell ref="A2:F2"/>
  </mergeCells>
  <dataValidations>
    <dataValidation type="list" allowBlank="1" showInputMessage="1" showErrorMessage="1" prompt="Choose Equal to share evenly, Market Weighted to reward larger cities, or None for no sharing" sqref="B7">
      <formula1>"Equal,Market Weighted,None"</formula1>
    </dataValidation>
  </dataValidations>
  <drawing r:id="rId1"/>
</worksheet>
</file>